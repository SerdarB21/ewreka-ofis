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şlar" sheetId="1" state="visible" r:id="rId1"/>
    <sheet xmlns:r="http://schemas.openxmlformats.org/officeDocument/2006/relationships" name="Özet Ğ" sheetId="2" state="visible" r:id="rId2"/>
    <sheet xmlns:r="http://schemas.openxmlformats.org/officeDocument/2006/relationships" name="Koşullu" sheetId="3" state="visible" r:id="rId3"/>
    <sheet xmlns:r="http://schemas.openxmlformats.org/officeDocument/2006/relationships" name="Gizli" sheetId="4" state="hidden" r:id="rId4"/>
  </sheets>
  <definedNames>
    <definedName name="KDV">'Satışlar'!$B$9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.mm.yyyy"/>
    <numFmt numFmtId="166" formatCode="#,##0.00 &quot;₺&quot;"/>
    <numFmt numFmtId="167" formatCode="&quot;₺&quot;#,##0.00"/>
    <numFmt numFmtId="168" formatCode="yyyy-mm-dd h:mm:ss"/>
    <numFmt numFmtId="169" formatCode="dd.mm.yyyy hh:mm"/>
    <numFmt numFmtId="170" formatCode="#,##0.00;[Red]-#,##0.00"/>
  </numFmts>
  <fonts count="6">
    <font>
      <name val="Calibri"/>
      <family val="2"/>
      <color theme="1"/>
      <sz val="11"/>
      <scheme val="minor"/>
    </font>
    <font>
      <name val="Calibri"/>
      <b val="1"/>
      <color rgb="00111113"/>
      <sz val="16"/>
    </font>
    <font>
      <b val="1"/>
      <color rgb="00FFFFFF"/>
    </font>
    <font>
      <b val="1"/>
    </font>
    <font>
      <b val="1"/>
      <color rgb="00C00000"/>
    </font>
    <font>
      <name val="Times New Roman"/>
      <i val="1"/>
      <strike val="1"/>
      <color rgb="004C8DFF"/>
      <sz val="12"/>
      <u val="single"/>
    </font>
  </fonts>
  <fills count="4">
    <fill>
      <patternFill/>
    </fill>
    <fill>
      <patternFill patternType="gray125"/>
    </fill>
    <fill>
      <patternFill patternType="solid">
        <fgColor rgb="002ECC8A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medium">
        <color rgb="00111113"/>
      </top>
      <bottom style="medium">
        <color rgb="00111113"/>
      </bottom>
    </border>
    <border>
      <left style="thin">
        <color rgb="00999999"/>
      </left>
      <right style="thin">
        <color rgb="00999999"/>
      </right>
      <bottom style="thin">
        <color rgb="00999999"/>
      </bottom>
    </border>
    <border>
      <left style="dashed"/>
      <right style="dotted"/>
      <top style="thick">
        <color rgb="00FF0000"/>
      </top>
      <bottom style="double">
        <color rgb="000000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165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0" fontId="3" fillId="0" borderId="0" pivotButton="0" quotePrefix="0" xfId="0"/>
    <xf numFmtId="166" fontId="4" fillId="3" borderId="0" pivotButton="0" quotePrefix="0" xfId="0"/>
    <xf numFmtId="9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textRotation="45"/>
    </xf>
    <xf numFmtId="165" fontId="0" fillId="0" borderId="0" pivotButton="0" quotePrefix="0" xfId="0"/>
    <xf numFmtId="169" fontId="0" fillId="0" borderId="0" pivotButton="0" quotePrefix="0" xfId="0"/>
    <xf numFmtId="11" fontId="0" fillId="0" borderId="0" pivotButton="0" quotePrefix="0" xfId="0"/>
    <xf numFmtId="170" fontId="0" fillId="0" borderId="0" pivotButton="0" quotePrefix="0" xfId="0"/>
    <xf numFmtId="166" fontId="0" fillId="0" borderId="0" pivotButton="0" quotePrefix="0" xfId="0"/>
    <xf numFmtId="0" fontId="0" fillId="0" borderId="3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Ewreka</author>
  </authors>
  <commentList>
    <comment ref="A16" authorId="0" shapeId="0">
      <text>
        <t>Bu bir nottur — Türkçe ğüş.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wreka.net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FC300"/>
    <outlinePr summaryBelow="1" summaryRight="1"/>
    <pageSetUpPr/>
  </sheetPr>
  <dimension ref="A1:F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4" customWidth="1" min="5" max="5"/>
    <col width="16" customWidth="1" min="6" max="6"/>
    <col hidden="1" width="13" customWidth="1" min="8" max="8"/>
  </cols>
  <sheetData>
    <row r="1" ht="30" customHeight="1">
      <c r="A1" s="1" t="inlineStr">
        <is>
          <t>Ewreka Digital — 2026 Çeyrek Satış Raporu (ğüşıöçİĞÜŞÖÇ)</t>
        </is>
      </c>
    </row>
    <row r="2">
      <c r="A2" s="2" t="inlineStr">
        <is>
          <t>Ürün</t>
        </is>
      </c>
      <c r="B2" s="2" t="inlineStr">
        <is>
          <t>Bölge</t>
        </is>
      </c>
      <c r="C2" s="2" t="inlineStr">
        <is>
          <t>Tarih</t>
        </is>
      </c>
      <c r="D2" s="2" t="inlineStr">
        <is>
          <t>Adet</t>
        </is>
      </c>
      <c r="E2" s="2" t="inlineStr">
        <is>
          <t>Birim Fiyat</t>
        </is>
      </c>
      <c r="F2" s="2" t="inlineStr">
        <is>
          <t>Tutar</t>
        </is>
      </c>
    </row>
    <row r="3">
      <c r="A3" s="3" t="inlineStr">
        <is>
          <t>Çay Bardağı</t>
        </is>
      </c>
      <c r="B3" s="3" t="inlineStr">
        <is>
          <t>İstanbul</t>
        </is>
      </c>
      <c r="C3" s="4" t="n">
        <v>46037</v>
      </c>
      <c r="D3" s="5" t="n">
        <v>120</v>
      </c>
      <c r="E3" s="6" t="n">
        <v>12.5</v>
      </c>
      <c r="F3" s="6">
        <f>D3*E3</f>
        <v/>
      </c>
    </row>
    <row r="4">
      <c r="A4" s="3" t="inlineStr">
        <is>
          <t>Şeker (kg)</t>
        </is>
      </c>
      <c r="B4" s="3" t="inlineStr">
        <is>
          <t>İzmir</t>
        </is>
      </c>
      <c r="C4" s="4" t="n">
        <v>46056</v>
      </c>
      <c r="D4" s="5" t="n">
        <v>80</v>
      </c>
      <c r="E4" s="6" t="n">
        <v>34.9</v>
      </c>
      <c r="F4" s="6">
        <f>D4*E4</f>
        <v/>
      </c>
    </row>
    <row r="5">
      <c r="A5" s="3" t="inlineStr">
        <is>
          <t>Güneş Gözlüğü</t>
        </is>
      </c>
      <c r="B5" s="3" t="inlineStr">
        <is>
          <t>Ankara</t>
        </is>
      </c>
      <c r="C5" s="4" t="n">
        <v>46081</v>
      </c>
      <c r="D5" s="5" t="n">
        <v>15</v>
      </c>
      <c r="E5" s="6" t="n">
        <v>499.99</v>
      </c>
      <c r="F5" s="6">
        <f>D5*E5</f>
        <v/>
      </c>
    </row>
    <row r="6">
      <c r="A6" s="3" t="inlineStr">
        <is>
          <t>Öğrenci Defteri</t>
        </is>
      </c>
      <c r="B6" s="3" t="inlineStr">
        <is>
          <t>Muğla</t>
        </is>
      </c>
      <c r="C6" s="4" t="n">
        <v>46093</v>
      </c>
      <c r="D6" s="5" t="n">
        <v>300</v>
      </c>
      <c r="E6" s="6" t="n">
        <v>18.75</v>
      </c>
      <c r="F6" s="6">
        <f>D6*E6</f>
        <v/>
      </c>
    </row>
    <row r="7">
      <c r="A7" s="3" t="inlineStr">
        <is>
          <t>Ihlamur Çayı</t>
        </is>
      </c>
      <c r="B7" s="3" t="inlineStr">
        <is>
          <t>Çanakkale</t>
        </is>
      </c>
      <c r="C7" s="4" t="n">
        <v>46112</v>
      </c>
      <c r="D7" s="5" t="n">
        <v>45</v>
      </c>
      <c r="E7" s="6" t="n">
        <v>64</v>
      </c>
      <c r="F7" s="6">
        <f>D7*E7</f>
        <v/>
      </c>
    </row>
    <row r="8">
      <c r="A8" s="7" t="inlineStr">
        <is>
          <t>TOPLAM</t>
        </is>
      </c>
      <c r="D8">
        <f>SUM(D3:D7)</f>
        <v/>
      </c>
      <c r="F8" s="8">
        <f>SUM(F3:F7)</f>
        <v/>
      </c>
    </row>
    <row r="9">
      <c r="A9" t="inlineStr">
        <is>
          <t>KDV oranı</t>
        </is>
      </c>
      <c r="B9" s="9" t="n">
        <v>0.2</v>
      </c>
    </row>
    <row r="10">
      <c r="A10" t="inlineStr">
        <is>
          <t>KDV dahil</t>
        </is>
      </c>
      <c r="B10" s="10">
        <f>F8*(1+B9)</f>
        <v/>
      </c>
    </row>
    <row r="11">
      <c r="A11" t="inlineStr">
        <is>
          <t>Ortalama fiyat</t>
        </is>
      </c>
      <c r="B11">
        <f>ROUND(AVERAGE(E3:E7),2)</f>
        <v/>
      </c>
    </row>
    <row r="12">
      <c r="A12" t="inlineStr">
        <is>
          <t>Büyük sipariş?</t>
        </is>
      </c>
      <c r="B12">
        <f>IF(D8&gt;500,"Evet","Hayır")</f>
        <v/>
      </c>
    </row>
    <row r="13">
      <c r="A13" t="inlineStr">
        <is>
          <t>Doğru mu</t>
        </is>
      </c>
      <c r="B13" t="b">
        <v>1</v>
      </c>
    </row>
    <row r="14" ht="45" customHeight="1">
      <c r="A14" s="11" t="inlineStr">
        <is>
          <t>Metin sarma örneği: bu hücredeki uzun metin satır sonuna gelince alt satıra geçmelidir.</t>
        </is>
      </c>
      <c r="C14" s="12" t="inlineStr">
        <is>
          <t>İtalik altı çizili üstü çizili</t>
        </is>
      </c>
      <c r="D14" s="13" t="inlineStr">
        <is>
          <t>Sağ-orta</t>
        </is>
      </c>
      <c r="E14" s="14" t="inlineStr">
        <is>
          <t>Döndürülmüş</t>
        </is>
      </c>
    </row>
    <row r="15">
      <c r="A15" t="inlineStr">
        <is>
          <t>Bağlantı</t>
        </is>
      </c>
      <c r="B15" t="inlineStr">
        <is>
          <t>ewreka.net</t>
        </is>
      </c>
    </row>
    <row r="16">
      <c r="A16" t="inlineStr">
        <is>
          <t>Not içeren hücre</t>
        </is>
      </c>
    </row>
    <row r="17">
      <c r="A17" t="inlineStr">
        <is>
          <t>Seçim listesi</t>
        </is>
      </c>
      <c r="B17" t="inlineStr">
        <is>
          <t>Elma</t>
        </is>
      </c>
    </row>
    <row r="18">
      <c r="A18" t="inlineStr">
        <is>
          <t>Bugün</t>
        </is>
      </c>
      <c r="B18" s="15">
        <f>TODAY()</f>
        <v/>
      </c>
    </row>
    <row r="19">
      <c r="A19" t="inlineStr">
        <is>
          <t>Saat</t>
        </is>
      </c>
      <c r="B19" s="16" t="n">
        <v>46161.60416666666</v>
      </c>
    </row>
    <row r="20">
      <c r="A20" t="inlineStr">
        <is>
          <t>Bilimsel</t>
        </is>
      </c>
      <c r="B20" s="17" t="n">
        <v>1234567.891</v>
      </c>
    </row>
    <row r="21">
      <c r="A21" t="inlineStr">
        <is>
          <t>Negatif</t>
        </is>
      </c>
      <c r="B21" s="18" t="n">
        <v>-1500.5</v>
      </c>
    </row>
    <row r="22" hidden="1">
      <c r="A22" t="inlineStr">
        <is>
          <t>gizli satır</t>
        </is>
      </c>
    </row>
  </sheetData>
  <mergeCells count="2">
    <mergeCell ref="A8:C8"/>
    <mergeCell ref="A1:F1"/>
  </mergeCells>
  <dataValidations count="1">
    <dataValidation sqref="B17:B20" showDropDown="0" showInputMessage="0" showErrorMessage="0" allowBlank="1" type="list">
      <formula1>"Elma,Armut,Kiraz"</formula1>
    </dataValidation>
  </dataValidations>
  <hyperlinks>
    <hyperlink xmlns:r="http://schemas.openxmlformats.org/officeDocument/2006/relationships" ref="B15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4C8DFF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Toplam tutar</t>
        </is>
      </c>
      <c r="B1" s="19">
        <f>'Satışlar'!F8</f>
        <v/>
      </c>
      <c r="D1" s="20" t="inlineStr">
        <is>
          <t>Kalın kenarlık</t>
        </is>
      </c>
    </row>
    <row r="2">
      <c r="A2" t="inlineStr">
        <is>
          <t>Ürün sayısı</t>
        </is>
      </c>
      <c r="B2">
        <f>COUNTA(Satışlar!A3:A7)</f>
        <v/>
      </c>
    </row>
    <row r="3">
      <c r="A3" t="inlineStr">
        <is>
          <t>En yüksek adet</t>
        </is>
      </c>
      <c r="B3">
        <f>MAX(Satışlar!D3:D7)</f>
        <v/>
      </c>
    </row>
    <row r="4">
      <c r="A4" t="inlineStr">
        <is>
          <t>Birleştir</t>
        </is>
      </c>
      <c r="B4">
        <f>CONCATENATE("Toplam: ",TEXT(B1,"0.00"))</f>
        <v/>
      </c>
    </row>
    <row r="5">
      <c r="A5" t="inlineStr">
        <is>
          <t>Paylaşılan</t>
        </is>
      </c>
    </row>
    <row r="6">
      <c r="A6" t="n">
        <v>60</v>
      </c>
      <c r="B6">
        <f>A6*2</f>
        <v/>
      </c>
    </row>
    <row r="7">
      <c r="A7" t="n">
        <v>70</v>
      </c>
      <c r="B7">
        <f>A7*2</f>
        <v/>
      </c>
    </row>
    <row r="8">
      <c r="A8" t="n">
        <v>80</v>
      </c>
      <c r="B8">
        <f>A8*2</f>
        <v/>
      </c>
    </row>
    <row r="9">
      <c r="A9" t="n">
        <v>90</v>
      </c>
      <c r="B9">
        <f>A9*2</f>
        <v/>
      </c>
    </row>
    <row r="10">
      <c r="A10" t="n">
        <v>100</v>
      </c>
      <c r="B10">
        <f>A10*2</f>
        <v/>
      </c>
    </row>
    <row r="12">
      <c r="A12" t="inlineStr">
        <is>
          <r>
            <t xml:space="preserve">Normal </t>
          </r>
          <r>
            <rPr>
              <b val="1"/>
              <color rgb="00FF0000"/>
            </rPr>
            <t>kalın kırmızı</t>
          </r>
          <r>
            <t xml:space="preserve"> ve </t>
          </r>
          <r>
            <rPr>
              <i val="1"/>
              <sz val="14"/>
            </rPr>
            <t>italik büyük</t>
          </r>
        </is>
      </c>
    </row>
    <row r="13">
      <c r="A13" s="21" t="inlineStr">
        <is>
          <t>Çok satırlı
hücre metni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1</v>
      </c>
      <c r="C1" t="inlineStr">
        <is>
          <t>elma</t>
        </is>
      </c>
      <c r="D1" t="n">
        <v>3</v>
      </c>
      <c r="E1" t="n">
        <v>1</v>
      </c>
    </row>
    <row r="2">
      <c r="A2" t="n">
        <v>20</v>
      </c>
      <c r="B2" t="n">
        <v>2</v>
      </c>
      <c r="C2" t="inlineStr">
        <is>
          <t>armut</t>
        </is>
      </c>
      <c r="D2" t="n">
        <v>6</v>
      </c>
      <c r="E2" t="n">
        <v>2</v>
      </c>
    </row>
    <row r="3">
      <c r="A3" t="n">
        <v>30</v>
      </c>
      <c r="B3" t="n">
        <v>3</v>
      </c>
      <c r="C3" t="inlineStr">
        <is>
          <t>elma</t>
        </is>
      </c>
      <c r="D3" t="n">
        <v>9</v>
      </c>
      <c r="E3" t="n">
        <v>3</v>
      </c>
    </row>
    <row r="4">
      <c r="A4" t="n">
        <v>40</v>
      </c>
      <c r="B4" t="n">
        <v>4</v>
      </c>
      <c r="C4" t="inlineStr">
        <is>
          <t>kiraz</t>
        </is>
      </c>
      <c r="D4" t="n">
        <v>12</v>
      </c>
      <c r="E4" t="n">
        <v>0</v>
      </c>
    </row>
    <row r="5">
      <c r="A5" t="n">
        <v>50</v>
      </c>
      <c r="B5" t="n">
        <v>5</v>
      </c>
      <c r="C5" t="inlineStr">
        <is>
          <t>üzüm</t>
        </is>
      </c>
      <c r="D5" t="n">
        <v>15</v>
      </c>
      <c r="E5" t="n">
        <v>1</v>
      </c>
    </row>
    <row r="6">
      <c r="A6" t="n">
        <v>60</v>
      </c>
      <c r="B6" t="n">
        <v>6</v>
      </c>
      <c r="C6" t="inlineStr">
        <is>
          <t>elma</t>
        </is>
      </c>
      <c r="D6" t="n">
        <v>18</v>
      </c>
      <c r="E6" t="n">
        <v>2</v>
      </c>
    </row>
    <row r="7">
      <c r="A7" t="n">
        <v>70</v>
      </c>
      <c r="B7" t="n">
        <v>7</v>
      </c>
      <c r="C7" t="inlineStr">
        <is>
          <t>nar</t>
        </is>
      </c>
      <c r="D7" t="n">
        <v>21</v>
      </c>
      <c r="E7" t="n">
        <v>3</v>
      </c>
    </row>
    <row r="8">
      <c r="A8" t="n">
        <v>80</v>
      </c>
      <c r="B8" t="n">
        <v>8</v>
      </c>
      <c r="C8" t="inlineStr">
        <is>
          <t>incir</t>
        </is>
      </c>
      <c r="D8" t="n">
        <v>24</v>
      </c>
      <c r="E8" t="n">
        <v>0</v>
      </c>
    </row>
    <row r="9">
      <c r="A9" t="n">
        <v>90</v>
      </c>
      <c r="B9" t="n">
        <v>9</v>
      </c>
      <c r="C9" t="inlineStr">
        <is>
          <t>armut</t>
        </is>
      </c>
      <c r="D9" t="n">
        <v>27</v>
      </c>
      <c r="E9" t="n">
        <v>1</v>
      </c>
    </row>
    <row r="10">
      <c r="A10" t="n">
        <v>100</v>
      </c>
      <c r="B10" t="n">
        <v>10</v>
      </c>
      <c r="C10" t="inlineStr">
        <is>
          <t>dut</t>
        </is>
      </c>
      <c r="D10" t="n">
        <v>30</v>
      </c>
      <c r="E10" t="n">
        <v>2</v>
      </c>
    </row>
  </sheetData>
  <conditionalFormatting sqref="A1:A10">
    <cfRule type="cellIs" priority="1" operator="greaterThan" dxfId="0">
      <formula>50</formula>
    </cfRule>
  </conditionalFormatting>
  <conditionalFormatting sqref="B1:B1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:D10">
    <cfRule type="dataBar" priority="3">
      <dataBar>
        <cfvo type="min"/>
        <cfvo type="max"/>
        <color rgb="00638EC6"/>
      </dataBar>
    </cfRule>
  </conditionalFormatting>
  <conditionalFormatting sqref="C1:C10">
    <cfRule type="expression" priority="4" dxfId="1">
      <formula>C1="elma"</formula>
    </cfRule>
  </conditionalFormatting>
  <conditionalFormatting sqref="E1:E10">
    <cfRule type="duplicateValues" priority="5" dxfId="2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gizli sayfa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2026-10-03T03:15:20Z</dcterms:created>
  <dcterms:modified xmlns:dcterms="http://purl.org/dc/terms/" xmlns:xsi="http://www.w3.org/2001/XMLSchema-instance" xsi:type="dcterms:W3CDTF">2026-10-03T03:15:20Z</dcterms:modified>
</cp:coreProperties>
</file>